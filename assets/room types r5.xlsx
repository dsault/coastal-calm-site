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DDB234BC-0F1E-4FE9-B017-B0A1693A1893}" xr6:coauthVersionLast="47" xr6:coauthVersionMax="47" xr10:uidLastSave="{00000000-0000-0000-0000-000000000000}"/>
  <bookViews>
    <workbookView xWindow="9960" yWindow="3144" windowWidth="32544" windowHeight="20952" xr2:uid="{00000000-000D-0000-FFFF-FFFF00000000}"/>
  </bookViews>
  <sheets>
    <sheet name="rooms" sheetId="1" r:id="rId1"/>
  </sheets>
  <definedNames>
    <definedName name="_xlnm._FilterDatabase" localSheetId="0" hidden="1">rooms!$A$2:$D$28</definedName>
    <definedName name="_xlnm.Print_Titles" localSheetId="0">rooms!$1:$3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39" i="1"/>
  <c r="M38" i="1"/>
  <c r="M37" i="1"/>
  <c r="M36" i="1"/>
  <c r="M35" i="1"/>
  <c r="M34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<sst xmlns="http://schemas.openxmlformats.org/spreadsheetml/2006/main" count="159" uniqueCount="110">
  <si>
    <t>room number</t>
  </si>
  <si>
    <t>room type</t>
  </si>
  <si>
    <t>Room size (m^2)</t>
  </si>
  <si>
    <t>room available now</t>
  </si>
  <si>
    <t>(for internal use)</t>
  </si>
  <si>
    <t>not for rent</t>
  </si>
  <si>
    <t>deluxe with spa tub and balcony</t>
  </si>
  <si>
    <t>deluxe with spa tub</t>
  </si>
  <si>
    <t>deluxe with ocean view</t>
  </si>
  <si>
    <t>standard</t>
  </si>
  <si>
    <t>standard with balcony</t>
  </si>
  <si>
    <t>X</t>
  </si>
  <si>
    <t>deluxe with balcony</t>
  </si>
  <si>
    <t>Presidential</t>
  </si>
  <si>
    <t>Rate plans (PHP / night)</t>
  </si>
  <si>
    <t>Discounts (only one applies)</t>
  </si>
  <si>
    <t>Flexible / rack rate (10% higher than website)</t>
  </si>
  <si>
    <t>Breakfast meal plan ₱300 per person per night, added at booking; children under 5 free; not discounted</t>
  </si>
  <si>
    <t>Plan ahead (posted on website): 15+ days, 10% off rack, 50% of quoted total charged at confirmation</t>
  </si>
  <si>
    <t>Senior/PWD 20% off flexible, one room; valid ID at check-in or rebilled at flexible rate</t>
  </si>
  <si>
    <t>Reserve a month: 15% off flexible for 28+ nights</t>
  </si>
  <si>
    <t>base adults</t>
  </si>
  <si>
    <t>base children</t>
  </si>
  <si>
    <t>max adults</t>
  </si>
  <si>
    <t>max children</t>
  </si>
  <si>
    <t>Posted Plan Ahead (website)</t>
  </si>
  <si>
    <t>Room type</t>
  </si>
  <si>
    <t>-10%  (15+ days)</t>
  </si>
  <si>
    <t>Plan Ahead PHP</t>
  </si>
  <si>
    <t>22 - 25</t>
  </si>
  <si>
    <t>25 - 32</t>
  </si>
  <si>
    <t>Add ons:</t>
  </si>
  <si>
    <t>extra adult for more than 2</t>
  </si>
  <si>
    <t>per extra adult / night</t>
  </si>
  <si>
    <t>extra child 5yo and up</t>
  </si>
  <si>
    <t>per child 5+ / night; if they need a bed, extra bed also applies</t>
  </si>
  <si>
    <t>extra bed</t>
  </si>
  <si>
    <t>per bed / night</t>
  </si>
  <si>
    <t>port pick up/ drop off (per person each way)</t>
  </si>
  <si>
    <t>per person, each way</t>
  </si>
  <si>
    <t>extra pillow</t>
  </si>
  <si>
    <t>per pillow / stay</t>
  </si>
  <si>
    <t>Cancellation Policy (as published on the website):</t>
  </si>
  <si>
    <t xml:space="preserve"> - Plan Ahead (posted rates): book 15 or more days before arrival. 50% of the quoted total (room + extras) is charged at confirmation and is not cash-refundable. Remaining balance due on arrival. Date changes: deposit becomes 12-month credit (same guest name, one stay).</t>
  </si>
  <si>
    <t xml:space="preserve"> - Cooling-off: if we confirm 15+ days before arrival, full refund (including Plan Ahead deposit) within 24 hours of written confirmation.</t>
  </si>
  <si>
    <t xml:space="preserve"> - Flexible / rack rate: free cancellation until 3:00 PM, three days before check-in.</t>
  </si>
  <si>
    <t xml:space="preserve"> - Cancel within 3 days of arrival: two nights charged (or the whole stay if fewer than two nights). Later nights released.</t>
  </si>
  <si>
    <t xml:space="preserve"> - No-show (did not arrive and did not cancel): full booking charged to the card on file. Plan Ahead: remaining 50% billed in addition to the deposit.</t>
  </si>
  <si>
    <t xml:space="preserve"> - Early departure / shortened stay: unused nights are charged.</t>
  </si>
  <si>
    <t xml:space="preserve"> - Credit card required to hold every reservation. Cancellation fees and no-shows billed to the card unless converted to credit below.</t>
  </si>
  <si>
    <t xml:space="preserve"> - Check-in 3:00 PM, check-out 11:00 AM.</t>
  </si>
  <si>
    <t xml:space="preserve"> - Ferry disruption (sailing cancelled or does not operate) and documented health/hardship: no cash refunds; cancellation fees including Plan Ahead deposit and the two-night late-cancel charge become 12-month credit (same guest name, one stay). A missed ferry is not disruption.</t>
  </si>
  <si>
    <t xml:space="preserve"> - Medical / family emergency and other documented hardship: manager reviews with documents; qualifying fees converted to the same 12-month credit.</t>
  </si>
  <si>
    <t>Policies:</t>
  </si>
  <si>
    <t xml:space="preserve"> - No smoking in guest rooms (vapes included). Smoking only in designated outdoor areas. Smoke in a room: ₱5,000 deep-cleaning fee on the card; stay may be ended.</t>
  </si>
  <si>
    <t xml:space="preserve"> - No pets anywhere on the property. Trained assistance animals: contact us before booking.</t>
  </si>
  <si>
    <t xml:space="preserve"> - Guest risk acknowledgement and damage waiver. Damage beyond ordinary wear billed to the card at cost of repair or replacement.</t>
  </si>
  <si>
    <t xml:space="preserve"> - A confirmed booking is acceptance of these policies, the cancellation schedule, the peak calendar, and posted resort rules.</t>
  </si>
  <si>
    <t xml:space="preserve"> Room Price includes: </t>
  </si>
  <si>
    <t xml:space="preserve"> - one queen size bed, bunk beds can be added to deluxe and presidential for additional occupancy</t>
  </si>
  <si>
    <t xml:space="preserve"> - accommodation for 2 adults (children under 5 stay free when sharing the existing bed)</t>
  </si>
  <si>
    <t xml:space="preserve"> - use of pool and jacuzzi, and ocean swimming access</t>
  </si>
  <si>
    <t xml:space="preserve"> - use of kid's play structure</t>
  </si>
  <si>
    <t xml:space="preserve"> - hair dryer, coffee, tea, bath robe, slippers, kettle, hot shower, room amenities</t>
  </si>
  <si>
    <t xml:space="preserve"> - eco friendly and solar powered</t>
  </si>
  <si>
    <t xml:space="preserve"> - parking</t>
  </si>
  <si>
    <t>Available at charge:</t>
  </si>
  <si>
    <t xml:space="preserve"> - karaoke, pool tables, retaurant, lounge, entertainment</t>
  </si>
  <si>
    <t xml:space="preserve"> - four 22kW EV fast chargers</t>
  </si>
  <si>
    <t xml:space="preserve"> - bamboo picnic houses</t>
  </si>
  <si>
    <t># of tables</t>
  </si>
  <si>
    <t># of persons</t>
  </si>
  <si>
    <t>Food service areas</t>
  </si>
  <si>
    <t>restaurant</t>
  </si>
  <si>
    <t>lounge</t>
  </si>
  <si>
    <t>deck</t>
  </si>
  <si>
    <t>pool deck</t>
  </si>
  <si>
    <t>event tent</t>
  </si>
  <si>
    <t>varies</t>
  </si>
  <si>
    <t>Peak dates (2-night minimum; quote/booking form blocks 1-night stays that overlap):</t>
  </si>
  <si>
    <t>Period</t>
  </si>
  <si>
    <t>Nights (inclusive stay-nights)</t>
  </si>
  <si>
    <t>Minimum</t>
  </si>
  <si>
    <t>Chinese New Year</t>
  </si>
  <si>
    <t>16–18 Feb 2026</t>
  </si>
  <si>
    <t>2 nights</t>
  </si>
  <si>
    <t>Holy Week</t>
  </si>
  <si>
    <t>28 Mar–6 Apr 2026</t>
  </si>
  <si>
    <t>Araw ng Kagitingan weekend</t>
  </si>
  <si>
    <t>8–11 Apr 2026</t>
  </si>
  <si>
    <t>Labor Day weekend</t>
  </si>
  <si>
    <t>1–3 May 2026</t>
  </si>
  <si>
    <t>Independence Day weekend</t>
  </si>
  <si>
    <t>12–14 Jun 2026</t>
  </si>
  <si>
    <t>National Heroes weekend</t>
  </si>
  <si>
    <t>29–31 Aug 2026</t>
  </si>
  <si>
    <t>Bonifacio weekend</t>
  </si>
  <si>
    <t>28–30 Nov 2026</t>
  </si>
  <si>
    <t>Christmas &amp; New Year</t>
  </si>
  <si>
    <t>24 Dec 2026–2 Jan 2027</t>
  </si>
  <si>
    <t>5–7 Feb 2027</t>
  </si>
  <si>
    <t>20–29 Mar 2027</t>
  </si>
  <si>
    <t>30 Apr–2 May 2027</t>
  </si>
  <si>
    <t>11–13 Jun 2027</t>
  </si>
  <si>
    <t>24 Dec 2027–2 Jan 2028</t>
  </si>
  <si>
    <t>Notes</t>
  </si>
  <si>
    <t xml:space="preserve"> - Website posted prices are the Plan Ahead rates in column L. Flexible / senior / monthly are calculated from column C (rack), not stacked on Plan Ahead.</t>
  </si>
  <si>
    <t xml:space="preserve"> - Only one discount applies.</t>
  </si>
  <si>
    <t xml:space="preserve"> - Event / show weekends may be added as peak in the written confirmation.</t>
  </si>
  <si>
    <t xml:space="preserve"> - This sheet matches the live site (coastal-calm.com / GitHub) as of 23 Aug 2026 (room types r5).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</si>
</sst>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rgb="FF1F6588"/>
      <name val="Aptos Narrow"/>
    </font>
    <font>
      <b/>
      <sz val="11"/>
      <name val="Aptos Narrow"/>
    </font>
    <font>
      <b/>
      <sz val="11"/>
      <color rgb="FF1F6588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EAF6FF"/>
      </patternFill>
    </fill>
    <fill>
      <patternFill patternType="solid">
        <fgColor rgb="FF1F6588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164" fontId="5" fillId="0" borderId="0" xfId="0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3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vertical="top" wrapText="1"/>
    </xf>
    <xf numFmtId="0" fontId="0" fillId="0" borderId="0" xfId="0" applyAlignment="1">
      <alignment horizontal="center" wrapText="1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109"/>
  <sheetViews>
    <sheetView showGridLines="0" tabSelected="1" workbookViewId="0">
      <selection activeCell="C13" sqref="C13"/>
    </sheetView>
  </sheetViews>
  <sheetFormatPr defaultRowHeight="14.45"/>
  <cols>
    <col min="1" max="1" width="22" style="1" customWidth="1"/>
    <col min="2" max="2" width="38" style="1" customWidth="1"/>
    <col min="3" max="3" width="42" style="1" customWidth="1"/>
    <col min="4" max="4" width="48" style="1" customWidth="1"/>
    <col min="5" max="6" width="42" style="1" customWidth="1"/>
    <col min="7" max="7" width="36" style="1" customWidth="1"/>
    <col min="8" max="8" width="14" style="4" customWidth="1"/>
    <col min="9" max="11" width="14" customWidth="1"/>
    <col min="12" max="12" width="26" customWidth="1"/>
  </cols>
  <sheetData>
    <row r="2" spans="1:11" s="3" customFormat="1" ht="15">
      <c r="A2" s="5" t="s">
        <v>0</v>
      </c>
      <c r="B2" s="5" t="s">
        <v>1</v>
      </c>
      <c r="C2" s="1" t="s">
        <v>2</v>
      </c>
      <c r="D2" s="5" t="s">
        <v>3</v>
      </c>
      <c r="E2" s="5"/>
      <c r="F2" s="5"/>
      <c r="G2" s="5"/>
      <c r="H2" s="11"/>
      <c r="I2" s="11"/>
      <c r="J2" s="11"/>
      <c r="K2" s="11"/>
    </row>
    <row r="3" spans="1:11" s="3" customFormat="1" ht="15">
      <c r="A3" s="5" t="s">
        <v>4</v>
      </c>
      <c r="B3" s="5"/>
      <c r="D3" s="5" t="s">
        <v>4</v>
      </c>
      <c r="E3" s="5"/>
      <c r="F3" s="5"/>
      <c r="G3" s="5"/>
      <c r="H3" s="11"/>
      <c r="I3" s="11"/>
      <c r="J3" s="11"/>
      <c r="K3" s="11"/>
    </row>
    <row r="4" spans="1:11" ht="15"/>
    <row r="5" spans="1:11" ht="15">
      <c r="A5" s="1">
        <v>1</v>
      </c>
      <c r="B5" s="1" t="s">
        <v>5</v>
      </c>
      <c r="C5" s="1">
        <v>63</v>
      </c>
    </row>
    <row r="6" spans="1:11" ht="15">
      <c r="A6" s="1">
        <f>A5+1</f>
        <v>2</v>
      </c>
      <c r="B6" s="1" t="s">
        <v>6</v>
      </c>
      <c r="C6" s="1">
        <v>25</v>
      </c>
    </row>
    <row r="7" spans="1:11" ht="15">
      <c r="A7" s="1">
        <f>A6+1</f>
        <v>3</v>
      </c>
      <c r="B7" s="1" t="s">
        <v>6</v>
      </c>
      <c r="C7" s="1">
        <v>25</v>
      </c>
    </row>
    <row r="8" spans="1:11" ht="15">
      <c r="A8" s="1">
        <f>A7+1</f>
        <v>4</v>
      </c>
      <c r="B8" s="1" t="s">
        <v>7</v>
      </c>
      <c r="C8" s="1">
        <v>25</v>
      </c>
    </row>
    <row r="9" spans="1:11" ht="15">
      <c r="A9" s="1">
        <f>A8+1</f>
        <v>5</v>
      </c>
      <c r="B9" s="1" t="s">
        <v>7</v>
      </c>
      <c r="C9" s="1">
        <v>25</v>
      </c>
    </row>
    <row r="10" spans="1:11" ht="15">
      <c r="A10" s="1">
        <f>A9+1</f>
        <v>6</v>
      </c>
      <c r="B10" s="1" t="s">
        <v>8</v>
      </c>
      <c r="C10" s="1">
        <v>24</v>
      </c>
    </row>
    <row r="11" spans="1:11" ht="15">
      <c r="A11" s="1">
        <f>A10+1</f>
        <v>7</v>
      </c>
      <c r="B11" s="1" t="s">
        <v>9</v>
      </c>
      <c r="C11" s="1">
        <v>18</v>
      </c>
    </row>
    <row r="12" spans="1:11" ht="15">
      <c r="A12" s="1">
        <f>A11+1</f>
        <v>8</v>
      </c>
      <c r="B12" s="1" t="s">
        <v>5</v>
      </c>
      <c r="C12" s="1">
        <v>9</v>
      </c>
    </row>
    <row r="13" spans="1:11" ht="15">
      <c r="A13" s="1">
        <f>A12+1</f>
        <v>9</v>
      </c>
      <c r="B13" s="1" t="s">
        <v>9</v>
      </c>
      <c r="C13" s="1">
        <v>18</v>
      </c>
    </row>
    <row r="14" spans="1:11" ht="15">
      <c r="A14" s="1">
        <f>A13+1</f>
        <v>10</v>
      </c>
      <c r="B14" s="1" t="s">
        <v>10</v>
      </c>
      <c r="C14" s="1">
        <v>18</v>
      </c>
      <c r="D14" s="1" t="s">
        <v>11</v>
      </c>
    </row>
    <row r="15" spans="1:11" ht="15">
      <c r="A15" s="1">
        <f>A14+1</f>
        <v>11</v>
      </c>
      <c r="B15" s="1" t="s">
        <v>10</v>
      </c>
      <c r="C15" s="1">
        <v>18</v>
      </c>
      <c r="D15" s="1" t="s">
        <v>11</v>
      </c>
    </row>
    <row r="16" spans="1:11" ht="15">
      <c r="A16" s="1">
        <f>A15+1</f>
        <v>12</v>
      </c>
      <c r="B16" s="1" t="s">
        <v>10</v>
      </c>
      <c r="C16" s="1">
        <v>18</v>
      </c>
      <c r="D16" s="1" t="s">
        <v>11</v>
      </c>
    </row>
    <row r="17" spans="1:13" ht="15">
      <c r="A17" s="1">
        <f>A16+1</f>
        <v>13</v>
      </c>
      <c r="B17" s="1" t="s">
        <v>5</v>
      </c>
    </row>
    <row r="18" spans="1:13" ht="15">
      <c r="A18" s="1">
        <f>A17+1</f>
        <v>14</v>
      </c>
      <c r="B18" s="1" t="s">
        <v>12</v>
      </c>
      <c r="C18" s="1">
        <v>22</v>
      </c>
      <c r="D18" s="1" t="s">
        <v>11</v>
      </c>
    </row>
    <row r="19" spans="1:13" ht="15">
      <c r="A19" s="1">
        <f>A18+1</f>
        <v>15</v>
      </c>
      <c r="B19" s="1" t="s">
        <v>13</v>
      </c>
      <c r="C19" s="1">
        <v>25</v>
      </c>
      <c r="D19" s="1" t="s">
        <v>11</v>
      </c>
    </row>
    <row r="20" spans="1:13" ht="15">
      <c r="A20" s="1">
        <f>A19+1</f>
        <v>16</v>
      </c>
      <c r="B20" s="1" t="s">
        <v>6</v>
      </c>
      <c r="C20" s="1">
        <v>32</v>
      </c>
      <c r="D20" s="1" t="s">
        <v>11</v>
      </c>
    </row>
    <row r="21" spans="1:13" ht="15">
      <c r="A21" s="1">
        <f>A20+1</f>
        <v>17</v>
      </c>
      <c r="B21" s="1" t="s">
        <v>9</v>
      </c>
      <c r="C21" s="1">
        <v>17</v>
      </c>
      <c r="D21" s="1" t="s">
        <v>11</v>
      </c>
    </row>
    <row r="22" spans="1:13" ht="15">
      <c r="A22" s="1">
        <f>A21+1</f>
        <v>18</v>
      </c>
      <c r="B22" s="1" t="s">
        <v>9</v>
      </c>
      <c r="C22" s="1">
        <v>17</v>
      </c>
      <c r="D22" s="1" t="s">
        <v>11</v>
      </c>
    </row>
    <row r="23" spans="1:13" ht="15">
      <c r="A23" s="1">
        <f>A22+1</f>
        <v>19</v>
      </c>
      <c r="B23" s="1" t="s">
        <v>12</v>
      </c>
      <c r="C23" s="1">
        <v>28</v>
      </c>
    </row>
    <row r="24" spans="1:13" ht="15">
      <c r="A24" s="1">
        <f>A23+1</f>
        <v>20</v>
      </c>
      <c r="B24" s="1" t="s">
        <v>9</v>
      </c>
      <c r="C24" s="1">
        <v>20</v>
      </c>
    </row>
    <row r="25" spans="1:13" ht="15">
      <c r="A25" s="1">
        <f>A24+1</f>
        <v>21</v>
      </c>
      <c r="B25" s="1" t="s">
        <v>12</v>
      </c>
      <c r="C25" s="1">
        <v>28</v>
      </c>
    </row>
    <row r="26" spans="1:13" ht="15">
      <c r="A26" s="1">
        <f>A25+1</f>
        <v>22</v>
      </c>
      <c r="B26" s="1" t="s">
        <v>12</v>
      </c>
      <c r="C26" s="1">
        <v>28</v>
      </c>
    </row>
    <row r="27" spans="1:13" ht="15">
      <c r="A27" s="1">
        <f>A26+1</f>
        <v>23</v>
      </c>
      <c r="B27" s="1" t="s">
        <v>9</v>
      </c>
      <c r="C27" s="1">
        <v>20</v>
      </c>
    </row>
    <row r="28" spans="1:13" ht="15">
      <c r="A28" s="1">
        <f>A27+1</f>
        <v>24</v>
      </c>
      <c r="B28" s="1" t="s">
        <v>12</v>
      </c>
      <c r="C28" s="1">
        <v>28</v>
      </c>
    </row>
    <row r="30" spans="1:13" ht="15.75">
      <c r="D30" s="12" t="s">
        <v>14</v>
      </c>
      <c r="E30" s="9"/>
      <c r="F30" s="12" t="s">
        <v>15</v>
      </c>
      <c r="G30" s="9"/>
      <c r="H30" s="9"/>
      <c r="I30" s="4"/>
    </row>
    <row r="31" spans="1:13" ht="48" customHeight="1">
      <c r="C31" s="1" t="s">
        <v>2</v>
      </c>
      <c r="D31" s="13" t="s">
        <v>16</v>
      </c>
      <c r="E31" s="13" t="s">
        <v>17</v>
      </c>
      <c r="F31" s="13" t="s">
        <v>18</v>
      </c>
      <c r="G31" s="13" t="s">
        <v>19</v>
      </c>
      <c r="H31" s="13" t="s">
        <v>20</v>
      </c>
      <c r="I31" s="13" t="s">
        <v>21</v>
      </c>
      <c r="J31" s="4" t="s">
        <v>22</v>
      </c>
      <c r="K31" s="4" t="s">
        <v>23</v>
      </c>
      <c r="L31" s="4" t="s">
        <v>24</v>
      </c>
      <c r="M31" s="13" t="s">
        <v>25</v>
      </c>
    </row>
    <row r="32" spans="1:13" ht="15">
      <c r="H32" s="1"/>
      <c r="I32" s="4"/>
    </row>
    <row r="33" spans="1:13" ht="15">
      <c r="A33" s="14" t="s">
        <v>26</v>
      </c>
      <c r="F33" s="6" t="s">
        <v>27</v>
      </c>
      <c r="G33" s="7">
        <v>-0.2</v>
      </c>
      <c r="H33" s="7">
        <v>-0.15</v>
      </c>
      <c r="I33" s="4"/>
      <c r="M33" s="15" t="s">
        <v>28</v>
      </c>
    </row>
    <row r="34" spans="1:13" ht="15">
      <c r="B34" s="1" t="s">
        <v>9</v>
      </c>
      <c r="C34" s="1">
        <v>17</v>
      </c>
      <c r="D34" s="16">
        <v>2800</v>
      </c>
      <c r="H34" s="1"/>
      <c r="I34" s="4">
        <v>2</v>
      </c>
      <c r="J34" s="4">
        <v>0</v>
      </c>
      <c r="K34" s="4">
        <v>2</v>
      </c>
      <c r="L34" s="4">
        <v>1</v>
      </c>
      <c r="M34" s="17">
        <f>ROUND(D34*0.9,0)</f>
        <v>2520</v>
      </c>
    </row>
    <row r="35" spans="1:13" ht="15">
      <c r="B35" s="1" t="s">
        <v>10</v>
      </c>
      <c r="C35" s="1">
        <v>18</v>
      </c>
      <c r="D35" s="16">
        <v>3000</v>
      </c>
      <c r="H35" s="1"/>
      <c r="I35" s="4">
        <v>2</v>
      </c>
      <c r="J35" s="4">
        <v>0</v>
      </c>
      <c r="K35" s="4">
        <v>2</v>
      </c>
      <c r="L35" s="4">
        <v>1</v>
      </c>
      <c r="M35" s="17">
        <f>ROUND(D35*0.9,0)</f>
        <v>2700</v>
      </c>
    </row>
    <row r="36" spans="1:13" ht="15">
      <c r="B36" s="1" t="s">
        <v>7</v>
      </c>
      <c r="C36" s="1">
        <v>25</v>
      </c>
      <c r="D36" s="16">
        <v>4000</v>
      </c>
      <c r="H36" s="1"/>
      <c r="I36" s="4">
        <v>2</v>
      </c>
      <c r="J36" s="4">
        <v>0</v>
      </c>
      <c r="K36" s="4">
        <v>5</v>
      </c>
      <c r="L36" s="4">
        <v>4</v>
      </c>
      <c r="M36" s="17">
        <f>ROUND(D36*0.9,0)</f>
        <v>3600</v>
      </c>
    </row>
    <row r="37" spans="1:13" ht="15">
      <c r="B37" s="1" t="s">
        <v>12</v>
      </c>
      <c r="C37" s="6" t="s">
        <v>29</v>
      </c>
      <c r="D37" s="16">
        <v>4000</v>
      </c>
      <c r="H37" s="1"/>
      <c r="I37" s="4">
        <v>2</v>
      </c>
      <c r="J37" s="4">
        <v>0</v>
      </c>
      <c r="K37" s="4">
        <v>5</v>
      </c>
      <c r="L37" s="4">
        <v>4</v>
      </c>
      <c r="M37" s="17">
        <f>ROUND(D37*0.9,0)</f>
        <v>3600</v>
      </c>
    </row>
    <row r="38" spans="1:13" ht="15">
      <c r="B38" s="1" t="s">
        <v>8</v>
      </c>
      <c r="C38" s="1">
        <v>24</v>
      </c>
      <c r="D38" s="16">
        <v>4000</v>
      </c>
      <c r="H38" s="1"/>
      <c r="I38" s="4">
        <v>2</v>
      </c>
      <c r="J38" s="4">
        <v>0</v>
      </c>
      <c r="K38" s="4">
        <v>5</v>
      </c>
      <c r="L38" s="4">
        <v>4</v>
      </c>
      <c r="M38" s="17">
        <f>ROUND(D38*0.9,0)</f>
        <v>3600</v>
      </c>
    </row>
    <row r="39" spans="1:13" ht="15">
      <c r="B39" s="1" t="s">
        <v>6</v>
      </c>
      <c r="C39" s="6" t="s">
        <v>30</v>
      </c>
      <c r="D39" s="16">
        <v>4300</v>
      </c>
      <c r="H39" s="1"/>
      <c r="I39" s="4">
        <v>2</v>
      </c>
      <c r="J39" s="4">
        <v>0</v>
      </c>
      <c r="K39" s="4">
        <v>5</v>
      </c>
      <c r="L39" s="4">
        <v>4</v>
      </c>
      <c r="M39" s="17">
        <f>ROUND(D39*0.9,0)</f>
        <v>3870</v>
      </c>
    </row>
    <row r="40" spans="1:13" ht="15">
      <c r="B40" s="1" t="s">
        <v>13</v>
      </c>
      <c r="C40" s="1">
        <v>25</v>
      </c>
      <c r="D40" s="16">
        <v>4500</v>
      </c>
      <c r="H40" s="1"/>
      <c r="I40" s="4">
        <v>2</v>
      </c>
      <c r="J40" s="4">
        <v>0</v>
      </c>
      <c r="K40" s="4">
        <v>5</v>
      </c>
      <c r="L40" s="4">
        <v>4</v>
      </c>
      <c r="M40" s="17">
        <f>ROUND(D40*0.9,0)</f>
        <v>4050</v>
      </c>
    </row>
    <row r="41" spans="1:13" ht="15">
      <c r="H41" s="1"/>
      <c r="I41" s="4"/>
    </row>
    <row r="42" spans="1:13" ht="15">
      <c r="A42" s="1" t="s">
        <v>31</v>
      </c>
      <c r="H42" s="1"/>
      <c r="I42" s="4"/>
    </row>
    <row r="43" spans="1:13" ht="15">
      <c r="B43" s="8" t="s">
        <v>32</v>
      </c>
      <c r="D43" s="16">
        <v>500</v>
      </c>
      <c r="E43" s="18" t="s">
        <v>33</v>
      </c>
      <c r="H43" s="1"/>
      <c r="I43" s="4"/>
    </row>
    <row r="44" spans="1:13" ht="29.25">
      <c r="B44" s="8" t="s">
        <v>34</v>
      </c>
      <c r="D44" s="16">
        <v>300</v>
      </c>
      <c r="E44" s="18" t="s">
        <v>35</v>
      </c>
      <c r="H44" s="1"/>
      <c r="I44" s="4"/>
    </row>
    <row r="45" spans="1:13" ht="15">
      <c r="B45" s="8" t="s">
        <v>36</v>
      </c>
      <c r="D45" s="16">
        <v>300</v>
      </c>
      <c r="E45" s="18" t="s">
        <v>37</v>
      </c>
      <c r="H45" s="1"/>
      <c r="I45" s="4"/>
    </row>
    <row r="46" spans="1:13" ht="28.9" customHeight="1">
      <c r="B46" s="10" t="s">
        <v>38</v>
      </c>
      <c r="D46" s="16">
        <v>500</v>
      </c>
      <c r="E46" s="18" t="s">
        <v>39</v>
      </c>
      <c r="H46" s="1"/>
      <c r="I46" s="4"/>
    </row>
    <row r="47" spans="1:13" ht="15">
      <c r="B47" s="2" t="s">
        <v>40</v>
      </c>
      <c r="D47" s="16">
        <v>100</v>
      </c>
      <c r="E47" s="18" t="s">
        <v>41</v>
      </c>
      <c r="H47" s="1"/>
      <c r="I47" s="4"/>
    </row>
    <row r="49" spans="1:2">
      <c r="A49" s="19" t="s">
        <v>42</v>
      </c>
    </row>
    <row r="50" spans="1:2" ht="36" customHeight="1">
      <c r="B50" s="18" t="s">
        <v>43</v>
      </c>
    </row>
    <row r="51" spans="1:2" ht="36" customHeight="1">
      <c r="B51" s="18" t="s">
        <v>44</v>
      </c>
    </row>
    <row r="52" spans="1:2" ht="36" customHeight="1">
      <c r="B52" s="18" t="s">
        <v>45</v>
      </c>
    </row>
    <row r="53" spans="1:2" ht="36" customHeight="1">
      <c r="B53" s="18" t="s">
        <v>46</v>
      </c>
    </row>
    <row r="54" spans="1:2" ht="36" customHeight="1">
      <c r="B54" s="18" t="s">
        <v>47</v>
      </c>
    </row>
    <row r="55" spans="1:2" ht="36" customHeight="1">
      <c r="B55" s="18" t="s">
        <v>48</v>
      </c>
    </row>
    <row r="56" spans="1:2" ht="36" customHeight="1">
      <c r="B56" s="18" t="s">
        <v>49</v>
      </c>
    </row>
    <row r="57" spans="1:2" ht="36" customHeight="1">
      <c r="B57" s="18" t="s">
        <v>50</v>
      </c>
    </row>
    <row r="58" spans="1:2" ht="36" customHeight="1">
      <c r="B58" s="18" t="s">
        <v>51</v>
      </c>
    </row>
    <row r="59" spans="1:2" ht="36" customHeight="1">
      <c r="B59" s="18" t="s">
        <v>52</v>
      </c>
    </row>
    <row r="61" spans="1:2">
      <c r="A61" s="19" t="s">
        <v>53</v>
      </c>
    </row>
    <row r="62" spans="1:2" ht="32.1" customHeight="1">
      <c r="B62" s="18" t="s">
        <v>54</v>
      </c>
    </row>
    <row r="63" spans="1:2" ht="32.1" customHeight="1">
      <c r="B63" s="18" t="s">
        <v>55</v>
      </c>
    </row>
    <row r="64" spans="1:2" ht="32.1" customHeight="1">
      <c r="B64" s="18" t="s">
        <v>56</v>
      </c>
    </row>
    <row r="65" spans="1:11" ht="32.1" customHeight="1">
      <c r="B65" s="18" t="s">
        <v>57</v>
      </c>
    </row>
    <row r="66" spans="1:11">
      <c r="B66" s="8"/>
    </row>
    <row r="67" spans="1:11">
      <c r="A67" s="3" t="s">
        <v>58</v>
      </c>
    </row>
    <row r="68" spans="1:11">
      <c r="A68" t="s">
        <v>59</v>
      </c>
      <c r="I68" s="4"/>
      <c r="J68" s="4"/>
      <c r="K68" s="4"/>
    </row>
    <row r="69" spans="1:11">
      <c r="A69" t="s">
        <v>60</v>
      </c>
    </row>
    <row r="70" spans="1:11">
      <c r="A70" t="s">
        <v>61</v>
      </c>
    </row>
    <row r="71" spans="1:11">
      <c r="A71" t="s">
        <v>62</v>
      </c>
    </row>
    <row r="72" spans="1:11">
      <c r="A72" t="s">
        <v>63</v>
      </c>
    </row>
    <row r="73" spans="1:11">
      <c r="A73" t="s">
        <v>64</v>
      </c>
    </row>
    <row r="74" spans="1:11">
      <c r="A74" t="s">
        <v>65</v>
      </c>
    </row>
    <row r="76" spans="1:11">
      <c r="A76" s="3" t="s">
        <v>66</v>
      </c>
    </row>
    <row r="77" spans="1:11">
      <c r="A77" t="s">
        <v>67</v>
      </c>
    </row>
    <row r="78" spans="1:11">
      <c r="A78" t="s">
        <v>68</v>
      </c>
    </row>
    <row r="79" spans="1:11">
      <c r="A79" t="s">
        <v>69</v>
      </c>
    </row>
    <row r="80" spans="1:11">
      <c r="C80" s="3" t="s">
        <v>70</v>
      </c>
      <c r="D80" s="3" t="s">
        <v>71</v>
      </c>
    </row>
    <row r="82" spans="1:4">
      <c r="A82" s="5" t="s">
        <v>72</v>
      </c>
    </row>
    <row r="83" spans="1:4">
      <c r="B83" s="1" t="s">
        <v>73</v>
      </c>
      <c r="C83" s="1">
        <v>18</v>
      </c>
      <c r="D83" s="1">
        <v>72</v>
      </c>
    </row>
    <row r="84" spans="1:4">
      <c r="B84" s="1" t="s">
        <v>74</v>
      </c>
      <c r="C84" s="1">
        <v>9</v>
      </c>
      <c r="D84" s="1">
        <v>51</v>
      </c>
    </row>
    <row r="85" spans="1:4">
      <c r="B85" s="1" t="s">
        <v>75</v>
      </c>
      <c r="C85" s="1">
        <v>6</v>
      </c>
      <c r="D85" s="1">
        <v>24</v>
      </c>
    </row>
    <row r="86" spans="1:4">
      <c r="B86" s="1" t="s">
        <v>76</v>
      </c>
      <c r="C86" s="1">
        <v>6</v>
      </c>
      <c r="D86" s="1">
        <v>36</v>
      </c>
    </row>
    <row r="87" spans="1:4">
      <c r="B87" s="1" t="s">
        <v>77</v>
      </c>
      <c r="C87" s="1" t="s">
        <v>78</v>
      </c>
    </row>
    <row r="89" spans="1:4">
      <c r="A89" s="26" t="s">
        <v>79</v>
      </c>
      <c r="B89" s="23"/>
      <c r="C89" s="23"/>
    </row>
    <row r="90" spans="1:4">
      <c r="A90" s="21" t="s">
        <v>80</v>
      </c>
      <c r="B90" s="21" t="s">
        <v>81</v>
      </c>
      <c r="C90" s="21" t="s">
        <v>82</v>
      </c>
    </row>
    <row r="91" spans="1:4">
      <c r="A91" s="22" t="s">
        <v>83</v>
      </c>
      <c r="B91" s="22" t="s">
        <v>84</v>
      </c>
      <c r="C91" s="22" t="s">
        <v>85</v>
      </c>
    </row>
    <row r="92" spans="1:4">
      <c r="A92" t="s">
        <v>86</v>
      </c>
      <c r="B92" t="s">
        <v>87</v>
      </c>
      <c r="C92" t="s">
        <v>85</v>
      </c>
    </row>
    <row r="93" spans="1:4">
      <c r="A93" s="22" t="s">
        <v>88</v>
      </c>
      <c r="B93" s="22" t="s">
        <v>89</v>
      </c>
      <c r="C93" s="22" t="s">
        <v>85</v>
      </c>
    </row>
    <row r="94" spans="1:4">
      <c r="A94" t="s">
        <v>90</v>
      </c>
      <c r="B94" t="s">
        <v>91</v>
      </c>
      <c r="C94" t="s">
        <v>85</v>
      </c>
    </row>
    <row r="95" spans="1:4">
      <c r="A95" s="22" t="s">
        <v>92</v>
      </c>
      <c r="B95" s="22" t="s">
        <v>93</v>
      </c>
      <c r="C95" s="22" t="s">
        <v>85</v>
      </c>
    </row>
    <row r="96" spans="1:4">
      <c r="A96" t="s">
        <v>94</v>
      </c>
      <c r="B96" t="s">
        <v>95</v>
      </c>
      <c r="C96" t="s">
        <v>85</v>
      </c>
    </row>
    <row r="97" spans="1:12">
      <c r="A97" s="22" t="s">
        <v>96</v>
      </c>
      <c r="B97" s="22" t="s">
        <v>97</v>
      </c>
      <c r="C97" s="22" t="s">
        <v>85</v>
      </c>
    </row>
    <row r="98" spans="1:12">
      <c r="A98" t="s">
        <v>98</v>
      </c>
      <c r="B98" t="s">
        <v>99</v>
      </c>
      <c r="C98" t="s">
        <v>85</v>
      </c>
    </row>
    <row r="99" spans="1:12">
      <c r="A99" s="22" t="s">
        <v>83</v>
      </c>
      <c r="B99" s="22" t="s">
        <v>100</v>
      </c>
      <c r="C99" s="22" t="s">
        <v>85</v>
      </c>
    </row>
    <row r="100" spans="1:12">
      <c r="A100" t="s">
        <v>86</v>
      </c>
      <c r="B100" t="s">
        <v>101</v>
      </c>
      <c r="C100" t="s">
        <v>85</v>
      </c>
    </row>
    <row r="101" spans="1:12">
      <c r="A101" s="22" t="s">
        <v>90</v>
      </c>
      <c r="B101" s="22" t="s">
        <v>102</v>
      </c>
      <c r="C101" s="22" t="s">
        <v>85</v>
      </c>
    </row>
    <row r="102" spans="1:12">
      <c r="A102" t="s">
        <v>92</v>
      </c>
      <c r="B102" t="s">
        <v>103</v>
      </c>
      <c r="C102" t="s">
        <v>85</v>
      </c>
    </row>
    <row r="103" spans="1:12">
      <c r="A103" s="22" t="s">
        <v>98</v>
      </c>
      <c r="B103" s="22" t="s">
        <v>104</v>
      </c>
      <c r="C103" s="22" t="s">
        <v>85</v>
      </c>
    </row>
    <row r="105" spans="1:12">
      <c r="A105" s="20" t="s">
        <v>105</v>
      </c>
    </row>
    <row r="106" spans="1:12" ht="21.95" customHeight="1">
      <c r="A106" s="24" t="s">
        <v>106</v>
      </c>
      <c r="B106" s="23"/>
      <c r="C106" s="23"/>
      <c r="D106" s="23"/>
      <c r="E106" s="23"/>
      <c r="F106" s="23"/>
      <c r="G106" s="23"/>
      <c r="H106" s="25"/>
      <c r="I106" s="27"/>
      <c r="J106" s="27"/>
      <c r="K106" s="27"/>
      <c r="L106" s="27"/>
    </row>
    <row r="107" spans="1:12" ht="21.95" customHeight="1">
      <c r="A107" s="24" t="s">
        <v>107</v>
      </c>
      <c r="B107" s="23"/>
      <c r="C107" s="23"/>
      <c r="D107" s="23"/>
      <c r="E107" s="23"/>
      <c r="F107" s="23"/>
      <c r="G107" s="23"/>
      <c r="H107" s="25"/>
      <c r="I107" s="27"/>
      <c r="J107" s="27"/>
      <c r="K107" s="27"/>
      <c r="L107" s="27"/>
    </row>
    <row r="108" spans="1:12" ht="21.95" customHeight="1">
      <c r="A108" s="24" t="s">
        <v>108</v>
      </c>
      <c r="B108" s="23"/>
      <c r="C108" s="23"/>
      <c r="D108" s="23"/>
      <c r="E108" s="23"/>
      <c r="F108" s="23"/>
      <c r="G108" s="23"/>
      <c r="H108" s="25"/>
      <c r="I108" s="27"/>
      <c r="J108" s="27"/>
      <c r="K108" s="27"/>
      <c r="L108" s="27"/>
    </row>
    <row r="109" spans="1:12" ht="21.95" customHeight="1">
      <c r="A109" s="24" t="s">
        <v>109</v>
      </c>
      <c r="B109" s="23"/>
      <c r="C109" s="23"/>
      <c r="D109" s="23"/>
      <c r="E109" s="23"/>
      <c r="F109" s="23"/>
      <c r="G109" s="23"/>
      <c r="H109" s="25"/>
      <c r="I109" s="27"/>
      <c r="J109" s="27"/>
      <c r="K109" s="27"/>
      <c r="L109" s="27"/>
    </row>
  </sheetData>
  <autoFilter ref="A2:C28" xr:uid="{00000000-0009-0000-0000-000000000000}"/>
  <mergeCells count="5">
    <mergeCell ref="A89:C89"/>
    <mergeCell ref="A107:L107"/>
    <mergeCell ref="A106:L106"/>
    <mergeCell ref="A109:L109"/>
    <mergeCell ref="A108:L108"/>
  </mergeCells>
  <pageMargins left="0.25" right="0.25" top="0.75" bottom="0.75" header="0.3" footer="0.3"/>
  <pageSetup scale="9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 Sault</dc:creator>
  <cp:keywords/>
  <dc:description/>
  <cp:lastModifiedBy/>
  <cp:revision/>
  <dcterms:created xsi:type="dcterms:W3CDTF">2026-08-17T21:26:39Z</dcterms:created>
  <dcterms:modified xsi:type="dcterms:W3CDTF">2026-08-25T03:23:52Z</dcterms:modified>
  <cp:category/>
  <cp:contentStatus/>
</cp:coreProperties>
</file>